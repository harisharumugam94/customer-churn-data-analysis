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lean Data" sheetId="2" state="visible" r:id="rId4"/>
    <sheet name="Data Quality Log" sheetId="3" state="visible" r:id="rId5"/>
    <sheet name="Summary Stats" sheetId="4" state="visible" r:id="rId6"/>
    <sheet name="Churn Patterns" sheetId="5" state="visible" r:id="rId7"/>
    <sheet name="Data Diction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<sst xmlns="http://schemas.openxmlformats.org/spreadsheetml/2006/main" count="263" uniqueCount="154">
  <si>
    <t xml:space="preserve">Customer Churn - Data Quality &amp; Exploratory Analysis</t>
  </si>
  <si>
    <t xml:space="preserve">Goal</t>
  </si>
  <si>
    <t xml:space="preserve">Audit and clean a customer churn dataset, document quality decisions, and find early patterns.</t>
  </si>
  <si>
    <t xml:space="preserve">Source</t>
  </si>
  <si>
    <t xml:space="preserve">customer_churn_sample.csv (synthetic customer records supplied with the task).</t>
  </si>
  <si>
    <t xml:space="preserve">Size</t>
  </si>
  <si>
    <t xml:space="preserve">15 customers, 11 columns.</t>
  </si>
  <si>
    <t xml:space="preserve">Result in one line</t>
  </si>
  <si>
    <t xml:space="preserve">The data passed every quality check, so no cells needed changing. Month-to-Month customers were the only ones who churned.</t>
  </si>
  <si>
    <t xml:space="preserve">Sheets</t>
  </si>
  <si>
    <t xml:space="preserve">Clean Data | Data Quality Log | Summary Stats | Churn Patterns | Data Dictionary</t>
  </si>
  <si>
    <t xml:space="preserve">Caution</t>
  </si>
  <si>
    <t xml:space="preserve">Only 15 rows, so the patterns are early hints, not proof.</t>
  </si>
  <si>
    <t xml:space="preserve">Colour legend</t>
  </si>
  <si>
    <t xml:space="preserve">Blue text = typed-in input/assumption. Black = formula.</t>
  </si>
  <si>
    <t xml:space="preserve">CustomerID</t>
  </si>
  <si>
    <t xml:space="preserve">Gender</t>
  </si>
  <si>
    <t xml:space="preserve">Age</t>
  </si>
  <si>
    <t xml:space="preserve">TenureMonths</t>
  </si>
  <si>
    <t xml:space="preserve">SubscriptionType</t>
  </si>
  <si>
    <t xml:space="preserve">MonthlyCharges</t>
  </si>
  <si>
    <t xml:space="preserve">TotalCharges</t>
  </si>
  <si>
    <t xml:space="preserve">ContractType</t>
  </si>
  <si>
    <t xml:space="preserve">SupportTickets</t>
  </si>
  <si>
    <t xml:space="preserve">PaymentMethod</t>
  </si>
  <si>
    <t xml:space="preserve">Churn</t>
  </si>
  <si>
    <t xml:space="preserve">CUST-1001</t>
  </si>
  <si>
    <t xml:space="preserve">Female</t>
  </si>
  <si>
    <t xml:space="preserve">Basic</t>
  </si>
  <si>
    <t xml:space="preserve">Month-to-Month</t>
  </si>
  <si>
    <t xml:space="preserve">Credit Card</t>
  </si>
  <si>
    <t xml:space="preserve">Yes</t>
  </si>
  <si>
    <t xml:space="preserve">CUST-1002</t>
  </si>
  <si>
    <t xml:space="preserve">Male</t>
  </si>
  <si>
    <t xml:space="preserve">Pro</t>
  </si>
  <si>
    <t xml:space="preserve">One Year</t>
  </si>
  <si>
    <t xml:space="preserve">Bank Transfer</t>
  </si>
  <si>
    <t xml:space="preserve">No</t>
  </si>
  <si>
    <t xml:space="preserve">CUST-1003</t>
  </si>
  <si>
    <t xml:space="preserve">UPI</t>
  </si>
  <si>
    <t xml:space="preserve">CUST-1004</t>
  </si>
  <si>
    <t xml:space="preserve">Enterprise</t>
  </si>
  <si>
    <t xml:space="preserve">Two Year</t>
  </si>
  <si>
    <t xml:space="preserve">CUST-1005</t>
  </si>
  <si>
    <t xml:space="preserve">Debit Card</t>
  </si>
  <si>
    <t xml:space="preserve">CUST-1006</t>
  </si>
  <si>
    <t xml:space="preserve">CUST-1007</t>
  </si>
  <si>
    <t xml:space="preserve">CUST-1008</t>
  </si>
  <si>
    <t xml:space="preserve">CUST-1009</t>
  </si>
  <si>
    <t xml:space="preserve">CUST-1010</t>
  </si>
  <si>
    <t xml:space="preserve">CUST-1011</t>
  </si>
  <si>
    <t xml:space="preserve">CUST-1012</t>
  </si>
  <si>
    <t xml:space="preserve">CUST-1013</t>
  </si>
  <si>
    <t xml:space="preserve">CUST-1014</t>
  </si>
  <si>
    <t xml:space="preserve">CUST-1015</t>
  </si>
  <si>
    <t xml:space="preserve">Data Quality Log</t>
  </si>
  <si>
    <t xml:space="preserve">Check</t>
  </si>
  <si>
    <t xml:space="preserve">Result</t>
  </si>
  <si>
    <t xml:space="preserve">Expected</t>
  </si>
  <si>
    <t xml:space="preserve">Status</t>
  </si>
  <si>
    <t xml:space="preserve">Decision / assumption</t>
  </si>
  <si>
    <t xml:space="preserve">Row count</t>
  </si>
  <si>
    <t xml:space="preserve">Keep all rows.</t>
  </si>
  <si>
    <t xml:space="preserve">Column count</t>
  </si>
  <si>
    <t xml:space="preserve">No columns dropped.</t>
  </si>
  <si>
    <t xml:space="preserve">Missing cells (all columns)</t>
  </si>
  <si>
    <t xml:space="preserve">No imputation needed.</t>
  </si>
  <si>
    <t xml:space="preserve">Duplicate CustomerIDs</t>
  </si>
  <si>
    <t xml:space="preserve">No rows removed.</t>
  </si>
  <si>
    <t xml:space="preserve">Ages outside 18-100</t>
  </si>
  <si>
    <t xml:space="preserve">Assumed customers are adults; range 18-100 treated as plausible.</t>
  </si>
  <si>
    <t xml:space="preserve">Negative tenure or charges</t>
  </si>
  <si>
    <t xml:space="preserve">Negative money or months would be impossible.</t>
  </si>
  <si>
    <t xml:space="preserve">Negative support tickets</t>
  </si>
  <si>
    <t xml:space="preserve">A ticket count cannot be negative.</t>
  </si>
  <si>
    <t xml:space="preserve">TotalCharges &lt;&gt; Tenure x MonthlyCharges (&gt;0.01)</t>
  </si>
  <si>
    <t xml:space="preserve">Assumed TotalCharges should equal tenure x monthly price. All rows match.</t>
  </si>
  <si>
    <t xml:space="preserve">Churn values other than Yes/No</t>
  </si>
  <si>
    <t xml:space="preserve">Target column is clean.</t>
  </si>
  <si>
    <t xml:space="preserve">Gender values other than Male/Female</t>
  </si>
  <si>
    <t xml:space="preserve">No spelling variants.</t>
  </si>
  <si>
    <t xml:space="preserve">Plan price not unique per SubscriptionType</t>
  </si>
  <si>
    <t xml:space="preserve">Each plan has one price (Basic 49.99, Pro 79.99, Enterprise 149.99).</t>
  </si>
  <si>
    <t xml:space="preserve">Overall</t>
  </si>
  <si>
    <t xml:space="preserve">Cleaning actions taken</t>
  </si>
  <si>
    <t xml:space="preserve">None required. The cleaned CSV is identical to the raw CSV. Documenting that the checks were run and passed is the result.</t>
  </si>
  <si>
    <t xml:space="preserve">Outliers: Age, TenureMonths, MonthlyCharges and SupportTickets were reviewed (see Summary Stats); no extreme values were found.</t>
  </si>
  <si>
    <t xml:space="preserve">Summary Statistics (numeric columns)</t>
  </si>
  <si>
    <t xml:space="preserve">Column</t>
  </si>
  <si>
    <t xml:space="preserve">Count</t>
  </si>
  <si>
    <t xml:space="preserve">Mean</t>
  </si>
  <si>
    <t xml:space="preserve">Median</t>
  </si>
  <si>
    <t xml:space="preserve">Min</t>
  </si>
  <si>
    <t xml:space="preserve">Max</t>
  </si>
  <si>
    <t xml:space="preserve">Std Dev</t>
  </si>
  <si>
    <t xml:space="preserve">Age distribution (bands)</t>
  </si>
  <si>
    <t xml:space="preserve">Age band</t>
  </si>
  <si>
    <t xml:space="preserve">Customers</t>
  </si>
  <si>
    <t xml:space="preserve">Churned</t>
  </si>
  <si>
    <t xml:space="preserve">Churn rate</t>
  </si>
  <si>
    <t xml:space="preserve">18-29</t>
  </si>
  <si>
    <t xml:space="preserve">30-39</t>
  </si>
  <si>
    <t xml:space="preserve">40-49</t>
  </si>
  <si>
    <t xml:space="preserve">50+</t>
  </si>
  <si>
    <t xml:space="preserve">Tenure distribution (bands)</t>
  </si>
  <si>
    <t xml:space="preserve">Tenure band (months)</t>
  </si>
  <si>
    <t xml:space="preserve">0-12</t>
  </si>
  <si>
    <t xml:space="preserve">13-24</t>
  </si>
  <si>
    <t xml:space="preserve">25-36</t>
  </si>
  <si>
    <t xml:space="preserve">37+</t>
  </si>
  <si>
    <t xml:space="preserve">Churn Patterns</t>
  </si>
  <si>
    <t xml:space="preserve">Overall churn rate</t>
  </si>
  <si>
    <t xml:space="preserve">Contract type</t>
  </si>
  <si>
    <t xml:space="preserve">Subscription type</t>
  </si>
  <si>
    <t xml:space="preserve">Payment method</t>
  </si>
  <si>
    <t xml:space="preserve">Group averages</t>
  </si>
  <si>
    <t xml:space="preserve">Tenure (months)</t>
  </si>
  <si>
    <t xml:space="preserve">Support tickets</t>
  </si>
  <si>
    <t xml:space="preserve">Monthly charges</t>
  </si>
  <si>
    <t xml:space="preserve">Churned (Yes)</t>
  </si>
  <si>
    <t xml:space="preserve">Stayed (No)</t>
  </si>
  <si>
    <t xml:space="preserve">Key findings</t>
  </si>
  <si>
    <t xml:space="preserve">1. Every Month-to-Month customer churned; no One Year or Two Year customer did.</t>
  </si>
  <si>
    <t xml:space="preserve">2. Churned customers were younger, had much shorter tenure, and raised more support tickets.</t>
  </si>
  <si>
    <t xml:space="preserve">3. Caution: with only 15 rows these are early hints, not proof. Confirm on a larger dataset.</t>
  </si>
  <si>
    <t xml:space="preserve">Data Dictionary</t>
  </si>
  <si>
    <t xml:space="preserve">Type</t>
  </si>
  <si>
    <t xml:space="preserve">Meaning</t>
  </si>
  <si>
    <t xml:space="preserve">Allowed / observed values</t>
  </si>
  <si>
    <t xml:space="preserve">Text</t>
  </si>
  <si>
    <t xml:space="preserve">Unique ID for each customer</t>
  </si>
  <si>
    <t xml:space="preserve">CUST-1001 to CUST-1015</t>
  </si>
  <si>
    <t xml:space="preserve">Customer gender</t>
  </si>
  <si>
    <t xml:space="preserve">Male, Female</t>
  </si>
  <si>
    <t xml:space="preserve">Whole number</t>
  </si>
  <si>
    <t xml:space="preserve">Customer age in years</t>
  </si>
  <si>
    <t xml:space="preserve">23 to 60</t>
  </si>
  <si>
    <t xml:space="preserve">How many months the customer has been subscribed</t>
  </si>
  <si>
    <t xml:space="preserve">2 to 48</t>
  </si>
  <si>
    <t xml:space="preserve">Plan the customer pays for</t>
  </si>
  <si>
    <t xml:space="preserve">Basic, Pro, Enterprise</t>
  </si>
  <si>
    <t xml:space="preserve">Decimal</t>
  </si>
  <si>
    <t xml:space="preserve">Price paid per month</t>
  </si>
  <si>
    <t xml:space="preserve">49.99, 79.99, 149.99</t>
  </si>
  <si>
    <t xml:space="preserve">Total paid so far (TenureMonths x MonthlyCharges)</t>
  </si>
  <si>
    <t xml:space="preserve">99.98 to 7199.52</t>
  </si>
  <si>
    <t xml:space="preserve">Length of the contract</t>
  </si>
  <si>
    <t xml:space="preserve">Month-to-Month, One Year, Two Year</t>
  </si>
  <si>
    <t xml:space="preserve">Number of support requests raised</t>
  </si>
  <si>
    <t xml:space="preserve">0 to 6</t>
  </si>
  <si>
    <t xml:space="preserve">How the customer pays</t>
  </si>
  <si>
    <t xml:space="preserve">Credit Card, Debit Card, UPI, Bank Transfer</t>
  </si>
  <si>
    <t xml:space="preserve">Did the customer leave? (target to understand)</t>
  </si>
  <si>
    <t xml:space="preserve">Yes, 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</si>
</sst>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.00"/>
    <numFmt numFmtId="167" formatCode="0"/>
    <numFmt numFmtId="168" formatCode="0%"/>
    <numFmt numFmtId="169" formatCode="0.0%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2BB8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4F2BB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'Churn Patterns'!D5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Patterns'!$A$6:$A$8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Patterns'!$D$6:$D$8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6632381"/>
        <c:axId val="63819044"/>
      </c:barChart>
      <c:catAx>
        <c:axId val="66632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19044"/>
        <c:crosses val="autoZero"/>
        <c:auto val="1"/>
        <c:lblAlgn val="ctr"/>
        <c:lblOffset val="100"/>
        <c:noMultiLvlLbl val="0"/>
      </c:catAx>
      <c:valAx>
        <c:axId val="63819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323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681408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8"/>
  </cols>
  <sheetData>
    <row r="1" customFormat="false" ht="26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customFormat="false" ht="15" hidden="false" customHeight="false" outlineLevel="0" collapsed="false">
      <c r="A2" s="5" t="s">
        <v>26</v>
      </c>
      <c r="B2" s="5" t="s">
        <v>27</v>
      </c>
      <c r="C2" s="5" t="n">
        <v>34</v>
      </c>
      <c r="D2" s="5" t="n">
        <v>12</v>
      </c>
      <c r="E2" s="5" t="s">
        <v>28</v>
      </c>
      <c r="F2" s="6" t="n">
        <v>49.99</v>
      </c>
      <c r="G2" s="7" t="n">
        <v>599.88</v>
      </c>
      <c r="H2" s="5" t="s">
        <v>29</v>
      </c>
      <c r="I2" s="5" t="n">
        <v>3</v>
      </c>
      <c r="J2" s="5" t="s">
        <v>30</v>
      </c>
      <c r="K2" s="5" t="s">
        <v>31</v>
      </c>
    </row>
    <row r="3" customFormat="false" ht="15" hidden="false" customHeight="false" outlineLevel="0" collapsed="false">
      <c r="A3" s="5" t="s">
        <v>32</v>
      </c>
      <c r="B3" s="5" t="s">
        <v>33</v>
      </c>
      <c r="C3" s="5" t="n">
        <v>45</v>
      </c>
      <c r="D3" s="5" t="n">
        <v>24</v>
      </c>
      <c r="E3" s="5" t="s">
        <v>34</v>
      </c>
      <c r="F3" s="6" t="n">
        <v>79.99</v>
      </c>
      <c r="G3" s="7" t="n">
        <v>1919.76</v>
      </c>
      <c r="H3" s="5" t="s">
        <v>35</v>
      </c>
      <c r="I3" s="5" t="n">
        <v>1</v>
      </c>
      <c r="J3" s="5" t="s">
        <v>36</v>
      </c>
      <c r="K3" s="5" t="s">
        <v>37</v>
      </c>
    </row>
    <row r="4" customFormat="false" ht="15" hidden="false" customHeight="false" outlineLevel="0" collapsed="false">
      <c r="A4" s="5" t="s">
        <v>38</v>
      </c>
      <c r="B4" s="5" t="s">
        <v>27</v>
      </c>
      <c r="C4" s="5" t="n">
        <v>29</v>
      </c>
      <c r="D4" s="5" t="n">
        <v>6</v>
      </c>
      <c r="E4" s="5" t="s">
        <v>28</v>
      </c>
      <c r="F4" s="6" t="n">
        <v>49.99</v>
      </c>
      <c r="G4" s="7" t="n">
        <v>299.94</v>
      </c>
      <c r="H4" s="5" t="s">
        <v>29</v>
      </c>
      <c r="I4" s="5" t="n">
        <v>5</v>
      </c>
      <c r="J4" s="5" t="s">
        <v>39</v>
      </c>
      <c r="K4" s="5" t="s">
        <v>31</v>
      </c>
    </row>
    <row r="5" customFormat="false" ht="15" hidden="false" customHeight="false" outlineLevel="0" collapsed="false">
      <c r="A5" s="5" t="s">
        <v>40</v>
      </c>
      <c r="B5" s="5" t="s">
        <v>33</v>
      </c>
      <c r="C5" s="5" t="n">
        <v>52</v>
      </c>
      <c r="D5" s="5" t="n">
        <v>36</v>
      </c>
      <c r="E5" s="5" t="s">
        <v>41</v>
      </c>
      <c r="F5" s="6" t="n">
        <v>149.99</v>
      </c>
      <c r="G5" s="7" t="n">
        <v>5399.64</v>
      </c>
      <c r="H5" s="5" t="s">
        <v>42</v>
      </c>
      <c r="I5" s="5" t="n">
        <v>0</v>
      </c>
      <c r="J5" s="5" t="s">
        <v>30</v>
      </c>
      <c r="K5" s="5" t="s">
        <v>37</v>
      </c>
    </row>
    <row r="6" customFormat="false" ht="15" hidden="false" customHeight="false" outlineLevel="0" collapsed="false">
      <c r="A6" s="5" t="s">
        <v>43</v>
      </c>
      <c r="B6" s="5" t="s">
        <v>27</v>
      </c>
      <c r="C6" s="5" t="n">
        <v>41</v>
      </c>
      <c r="D6" s="5" t="n">
        <v>8</v>
      </c>
      <c r="E6" s="5" t="s">
        <v>34</v>
      </c>
      <c r="F6" s="6" t="n">
        <v>79.99</v>
      </c>
      <c r="G6" s="7" t="n">
        <v>639.92</v>
      </c>
      <c r="H6" s="5" t="s">
        <v>29</v>
      </c>
      <c r="I6" s="5" t="n">
        <v>4</v>
      </c>
      <c r="J6" s="5" t="s">
        <v>44</v>
      </c>
      <c r="K6" s="5" t="s">
        <v>31</v>
      </c>
    </row>
    <row r="7" customFormat="false" ht="15" hidden="false" customHeight="false" outlineLevel="0" collapsed="false">
      <c r="A7" s="5" t="s">
        <v>45</v>
      </c>
      <c r="B7" s="5" t="s">
        <v>33</v>
      </c>
      <c r="C7" s="5" t="n">
        <v>31</v>
      </c>
      <c r="D7" s="5" t="n">
        <v>18</v>
      </c>
      <c r="E7" s="5" t="s">
        <v>28</v>
      </c>
      <c r="F7" s="6" t="n">
        <v>49.99</v>
      </c>
      <c r="G7" s="7" t="n">
        <v>899.82</v>
      </c>
      <c r="H7" s="5" t="s">
        <v>35</v>
      </c>
      <c r="I7" s="5" t="n">
        <v>2</v>
      </c>
      <c r="J7" s="5" t="s">
        <v>39</v>
      </c>
      <c r="K7" s="5" t="s">
        <v>37</v>
      </c>
    </row>
    <row r="8" customFormat="false" ht="15" hidden="false" customHeight="false" outlineLevel="0" collapsed="false">
      <c r="A8" s="5" t="s">
        <v>46</v>
      </c>
      <c r="B8" s="5" t="s">
        <v>27</v>
      </c>
      <c r="C8" s="5" t="n">
        <v>23</v>
      </c>
      <c r="D8" s="5" t="n">
        <v>3</v>
      </c>
      <c r="E8" s="5" t="s">
        <v>28</v>
      </c>
      <c r="F8" s="6" t="n">
        <v>49.99</v>
      </c>
      <c r="G8" s="7" t="n">
        <v>149.97</v>
      </c>
      <c r="H8" s="5" t="s">
        <v>29</v>
      </c>
      <c r="I8" s="5" t="n">
        <v>6</v>
      </c>
      <c r="J8" s="5" t="s">
        <v>30</v>
      </c>
      <c r="K8" s="5" t="s">
        <v>31</v>
      </c>
    </row>
    <row r="9" customFormat="false" ht="15" hidden="false" customHeight="false" outlineLevel="0" collapsed="false">
      <c r="A9" s="5" t="s">
        <v>47</v>
      </c>
      <c r="B9" s="5" t="s">
        <v>33</v>
      </c>
      <c r="C9" s="5" t="n">
        <v>60</v>
      </c>
      <c r="D9" s="5" t="n">
        <v>48</v>
      </c>
      <c r="E9" s="5" t="s">
        <v>41</v>
      </c>
      <c r="F9" s="6" t="n">
        <v>149.99</v>
      </c>
      <c r="G9" s="7" t="n">
        <v>7199.52</v>
      </c>
      <c r="H9" s="5" t="s">
        <v>42</v>
      </c>
      <c r="I9" s="5" t="n">
        <v>1</v>
      </c>
      <c r="J9" s="5" t="s">
        <v>36</v>
      </c>
      <c r="K9" s="5" t="s">
        <v>37</v>
      </c>
    </row>
    <row r="10" customFormat="false" ht="15" hidden="false" customHeight="false" outlineLevel="0" collapsed="false">
      <c r="A10" s="5" t="s">
        <v>48</v>
      </c>
      <c r="B10" s="5" t="s">
        <v>27</v>
      </c>
      <c r="C10" s="5" t="n">
        <v>38</v>
      </c>
      <c r="D10" s="5" t="n">
        <v>15</v>
      </c>
      <c r="E10" s="5" t="s">
        <v>34</v>
      </c>
      <c r="F10" s="6" t="n">
        <v>79.99</v>
      </c>
      <c r="G10" s="7" t="n">
        <v>1199.85</v>
      </c>
      <c r="H10" s="5" t="s">
        <v>35</v>
      </c>
      <c r="I10" s="5" t="n">
        <v>2</v>
      </c>
      <c r="J10" s="5" t="s">
        <v>30</v>
      </c>
      <c r="K10" s="5" t="s">
        <v>37</v>
      </c>
    </row>
    <row r="11" customFormat="false" ht="15" hidden="false" customHeight="false" outlineLevel="0" collapsed="false">
      <c r="A11" s="5" t="s">
        <v>49</v>
      </c>
      <c r="B11" s="5" t="s">
        <v>33</v>
      </c>
      <c r="C11" s="5" t="n">
        <v>27</v>
      </c>
      <c r="D11" s="5" t="n">
        <v>4</v>
      </c>
      <c r="E11" s="5" t="s">
        <v>28</v>
      </c>
      <c r="F11" s="6" t="n">
        <v>49.99</v>
      </c>
      <c r="G11" s="7" t="n">
        <v>199.96</v>
      </c>
      <c r="H11" s="5" t="s">
        <v>29</v>
      </c>
      <c r="I11" s="5" t="n">
        <v>4</v>
      </c>
      <c r="J11" s="5" t="s">
        <v>39</v>
      </c>
      <c r="K11" s="5" t="s">
        <v>31</v>
      </c>
    </row>
    <row r="12" customFormat="false" ht="15" hidden="false" customHeight="false" outlineLevel="0" collapsed="false">
      <c r="A12" s="5" t="s">
        <v>50</v>
      </c>
      <c r="B12" s="5" t="s">
        <v>27</v>
      </c>
      <c r="C12" s="5" t="n">
        <v>49</v>
      </c>
      <c r="D12" s="5" t="n">
        <v>30</v>
      </c>
      <c r="E12" s="5" t="s">
        <v>41</v>
      </c>
      <c r="F12" s="6" t="n">
        <v>149.99</v>
      </c>
      <c r="G12" s="7" t="n">
        <v>4499.7</v>
      </c>
      <c r="H12" s="5" t="s">
        <v>42</v>
      </c>
      <c r="I12" s="5" t="n">
        <v>0</v>
      </c>
      <c r="J12" s="5" t="s">
        <v>30</v>
      </c>
      <c r="K12" s="5" t="s">
        <v>37</v>
      </c>
    </row>
    <row r="13" customFormat="false" ht="15" hidden="false" customHeight="false" outlineLevel="0" collapsed="false">
      <c r="A13" s="5" t="s">
        <v>51</v>
      </c>
      <c r="B13" s="5" t="s">
        <v>33</v>
      </c>
      <c r="C13" s="5" t="n">
        <v>33</v>
      </c>
      <c r="D13" s="5" t="n">
        <v>14</v>
      </c>
      <c r="E13" s="5" t="s">
        <v>34</v>
      </c>
      <c r="F13" s="6" t="n">
        <v>79.99</v>
      </c>
      <c r="G13" s="7" t="n">
        <v>1119.86</v>
      </c>
      <c r="H13" s="5" t="s">
        <v>29</v>
      </c>
      <c r="I13" s="5" t="n">
        <v>3</v>
      </c>
      <c r="J13" s="5" t="s">
        <v>44</v>
      </c>
      <c r="K13" s="5" t="s">
        <v>31</v>
      </c>
    </row>
    <row r="14" customFormat="false" ht="15" hidden="false" customHeight="false" outlineLevel="0" collapsed="false">
      <c r="A14" s="5" t="s">
        <v>52</v>
      </c>
      <c r="B14" s="5" t="s">
        <v>27</v>
      </c>
      <c r="C14" s="5" t="n">
        <v>55</v>
      </c>
      <c r="D14" s="5" t="n">
        <v>22</v>
      </c>
      <c r="E14" s="5" t="s">
        <v>28</v>
      </c>
      <c r="F14" s="6" t="n">
        <v>49.99</v>
      </c>
      <c r="G14" s="7" t="n">
        <v>1099.78</v>
      </c>
      <c r="H14" s="5" t="s">
        <v>35</v>
      </c>
      <c r="I14" s="5" t="n">
        <v>1</v>
      </c>
      <c r="J14" s="5" t="s">
        <v>36</v>
      </c>
      <c r="K14" s="5" t="s">
        <v>37</v>
      </c>
    </row>
    <row r="15" customFormat="false" ht="15" hidden="false" customHeight="false" outlineLevel="0" collapsed="false">
      <c r="A15" s="5" t="s">
        <v>53</v>
      </c>
      <c r="B15" s="5" t="s">
        <v>33</v>
      </c>
      <c r="C15" s="5" t="n">
        <v>26</v>
      </c>
      <c r="D15" s="5" t="n">
        <v>2</v>
      </c>
      <c r="E15" s="5" t="s">
        <v>28</v>
      </c>
      <c r="F15" s="6" t="n">
        <v>49.99</v>
      </c>
      <c r="G15" s="7" t="n">
        <v>99.98</v>
      </c>
      <c r="H15" s="5" t="s">
        <v>29</v>
      </c>
      <c r="I15" s="5" t="n">
        <v>5</v>
      </c>
      <c r="J15" s="5" t="s">
        <v>39</v>
      </c>
      <c r="K15" s="5" t="s">
        <v>31</v>
      </c>
    </row>
    <row r="16" customFormat="false" ht="15" hidden="false" customHeight="false" outlineLevel="0" collapsed="false">
      <c r="A16" s="5" t="s">
        <v>54</v>
      </c>
      <c r="B16" s="5" t="s">
        <v>27</v>
      </c>
      <c r="C16" s="5" t="n">
        <v>43</v>
      </c>
      <c r="D16" s="5" t="n">
        <v>40</v>
      </c>
      <c r="E16" s="5" t="s">
        <v>41</v>
      </c>
      <c r="F16" s="6" t="n">
        <v>149.99</v>
      </c>
      <c r="G16" s="7" t="n">
        <v>5999.6</v>
      </c>
      <c r="H16" s="5" t="s">
        <v>42</v>
      </c>
      <c r="I16" s="5" t="n">
        <v>1</v>
      </c>
      <c r="J16" s="5" t="s">
        <v>30</v>
      </c>
      <c r="K16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</row>
    <row r="4" customFormat="false" ht="15" hidden="false" customHeight="false" outlineLevel="0" collapsed="false">
      <c r="A4" s="5" t="s">
        <v>61</v>
      </c>
      <c r="B4" s="5" t="n">
        <f aca="false">COUNTA('Clean Data'!$A$2:$A$16)</f>
        <v>15</v>
      </c>
      <c r="C4" s="8" t="n">
        <v>15</v>
      </c>
      <c r="D4" s="5" t="str">
        <f aca="false">IF(B4=C4,"PASS","REVIEW")</f>
        <v>PASS</v>
      </c>
      <c r="E4" s="9" t="s">
        <v>62</v>
      </c>
    </row>
    <row r="5" customFormat="false" ht="15" hidden="false" customHeight="false" outlineLevel="0" collapsed="false">
      <c r="A5" s="5" t="s">
        <v>63</v>
      </c>
      <c r="B5" s="5" t="n">
        <f aca="false">COUNTA('Clean Data'!$A$1:$K$1)</f>
        <v>11</v>
      </c>
      <c r="C5" s="8" t="n">
        <v>11</v>
      </c>
      <c r="D5" s="5" t="str">
        <f aca="false">IF(B5=C5,"PASS","REVIEW")</f>
        <v>PASS</v>
      </c>
      <c r="E5" s="9" t="s">
        <v>64</v>
      </c>
    </row>
    <row r="6" customFormat="false" ht="15" hidden="false" customHeight="false" outlineLevel="0" collapsed="false">
      <c r="A6" s="5" t="s">
        <v>65</v>
      </c>
      <c r="B6" s="5" t="n">
        <f aca="false">COUNTBLANK('Clean Data'!$A$2:$K$16)</f>
        <v>0</v>
      </c>
      <c r="C6" s="8" t="n">
        <v>0</v>
      </c>
      <c r="D6" s="5" t="str">
        <f aca="false">IF(B6=C6,"PASS","REVIEW")</f>
        <v>PASS</v>
      </c>
      <c r="E6" s="9" t="s">
        <v>66</v>
      </c>
    </row>
    <row r="7" customFormat="false" ht="15" hidden="false" customHeight="false" outlineLevel="0" collapsed="false">
      <c r="A7" s="5" t="s">
        <v>67</v>
      </c>
      <c r="B7" s="5" t="n">
        <f aca="false">SUMPRODUCT((COUNTIF('Clean Data'!$A$2:$A$16,'Clean Data'!$A$2:$A$16)&gt;1)*1)</f>
        <v>0</v>
      </c>
      <c r="C7" s="8" t="n">
        <v>0</v>
      </c>
      <c r="D7" s="5" t="str">
        <f aca="false">IF(B7=C7,"PASS","REVIEW")</f>
        <v>PASS</v>
      </c>
      <c r="E7" s="9" t="s">
        <v>68</v>
      </c>
    </row>
    <row r="8" customFormat="false" ht="15" hidden="false" customHeight="false" outlineLevel="0" collapsed="false">
      <c r="A8" s="5" t="s">
        <v>69</v>
      </c>
      <c r="B8" s="5" t="n">
        <f aca="false">COUNTIF('Clean Data'!$C$2:$C$16,"&lt;18")+COUNTIF('Clean Data'!$C$2:$C$16,"&gt;100")</f>
        <v>0</v>
      </c>
      <c r="C8" s="8" t="n">
        <v>0</v>
      </c>
      <c r="D8" s="5" t="str">
        <f aca="false">IF(B8=C8,"PASS","REVIEW")</f>
        <v>PASS</v>
      </c>
      <c r="E8" s="9" t="s">
        <v>70</v>
      </c>
    </row>
    <row r="9" customFormat="false" ht="15" hidden="false" customHeight="false" outlineLevel="0" collapsed="false">
      <c r="A9" s="5" t="s">
        <v>71</v>
      </c>
      <c r="B9" s="5" t="n">
        <f aca="false">COUNTIF('Clean Data'!$D$2:$D$16,"&lt;0")+COUNTIF('Clean Data'!$F$2:$F$16,"&lt;0")+COUNTIF('Clean Data'!$G$2:$G$16,"&lt;0")</f>
        <v>0</v>
      </c>
      <c r="C9" s="8" t="n">
        <v>0</v>
      </c>
      <c r="D9" s="5" t="str">
        <f aca="false">IF(B9=C9,"PASS","REVIEW")</f>
        <v>PASS</v>
      </c>
      <c r="E9" s="9" t="s">
        <v>72</v>
      </c>
    </row>
    <row r="10" customFormat="false" ht="15" hidden="false" customHeight="false" outlineLevel="0" collapsed="false">
      <c r="A10" s="5" t="s">
        <v>73</v>
      </c>
      <c r="B10" s="5" t="n">
        <f aca="false">COUNTIF('Clean Data'!$I$2:$I$16,"&lt;0")</f>
        <v>0</v>
      </c>
      <c r="C10" s="8" t="n">
        <v>0</v>
      </c>
      <c r="D10" s="5" t="str">
        <f aca="false">IF(B10=C10,"PASS","REVIEW")</f>
        <v>PASS</v>
      </c>
      <c r="E10" s="9" t="s">
        <v>74</v>
      </c>
    </row>
    <row r="11" customFormat="false" ht="15" hidden="false" customHeight="false" outlineLevel="0" collapsed="false">
      <c r="A11" s="5" t="s">
        <v>75</v>
      </c>
      <c r="B11" s="5" t="n">
        <f aca="false">SUMPRODUCT((ABS('Clean Data'!$D$2:$D$16*'Clean Data'!$F$2:$F$16-'Clean Data'!$G$2:$G$16)&gt;0.01)*1)</f>
        <v>0</v>
      </c>
      <c r="C11" s="8" t="n">
        <v>0</v>
      </c>
      <c r="D11" s="5" t="str">
        <f aca="false">IF(B11=C11,"PASS","REVIEW")</f>
        <v>PASS</v>
      </c>
      <c r="E11" s="9" t="s">
        <v>76</v>
      </c>
    </row>
    <row r="12" customFormat="false" ht="15" hidden="false" customHeight="false" outlineLevel="0" collapsed="false">
      <c r="A12" s="5" t="s">
        <v>77</v>
      </c>
      <c r="B12" s="5" t="n">
        <f aca="false">15-COUNTIF('Clean Data'!$K$2:$K$16,"Yes")-COUNTIF('Clean Data'!$K$2:$K$16,"No")</f>
        <v>0</v>
      </c>
      <c r="C12" s="8" t="n">
        <v>0</v>
      </c>
      <c r="D12" s="5" t="str">
        <f aca="false">IF(B12=C12,"PASS","REVIEW")</f>
        <v>PASS</v>
      </c>
      <c r="E12" s="9" t="s">
        <v>78</v>
      </c>
    </row>
    <row r="13" customFormat="false" ht="15" hidden="false" customHeight="false" outlineLevel="0" collapsed="false">
      <c r="A13" s="5" t="s">
        <v>79</v>
      </c>
      <c r="B13" s="5" t="n">
        <f aca="false">15-COUNTIF('Clean Data'!$B$2:$B$16,"Male")-COUNTIF('Clean Data'!$B$2:$B$16,"Female")</f>
        <v>0</v>
      </c>
      <c r="C13" s="8" t="n">
        <v>0</v>
      </c>
      <c r="D13" s="5" t="str">
        <f aca="false">IF(B13=C13,"PASS","REVIEW")</f>
        <v>PASS</v>
      </c>
      <c r="E13" s="9" t="s">
        <v>80</v>
      </c>
    </row>
    <row r="14" customFormat="false" ht="15" hidden="false" customHeight="false" outlineLevel="0" collapsed="false">
      <c r="A14" s="5" t="s">
        <v>81</v>
      </c>
      <c r="B14" s="5" t="n">
        <f aca="false">SUMPRODUCT(((COUNTIFS('Clean Data'!$E$2:$E$16,'Clean Data'!$E$2:$E$16,'Clean Data'!$F$2:$F$16,"&lt;&gt;"&amp;'Clean Data'!$F$2:$F$16))&gt;0)*1)</f>
        <v>0</v>
      </c>
      <c r="C14" s="8" t="n">
        <v>0</v>
      </c>
      <c r="D14" s="5" t="str">
        <f aca="false">IF(B14=C14,"PASS","REVIEW")</f>
        <v>PASS</v>
      </c>
      <c r="E14" s="9" t="s">
        <v>82</v>
      </c>
    </row>
    <row r="16" customFormat="false" ht="15" hidden="false" customHeight="false" outlineLevel="0" collapsed="false">
      <c r="A16" s="2" t="s">
        <v>83</v>
      </c>
      <c r="B16" s="2" t="str">
        <f aca="false">IF(COUNTIF(D4:D14,"PASS")=ROWS(D4:D14),"All checks passed","Some checks need review")</f>
        <v>All checks passed</v>
      </c>
    </row>
    <row r="18" customFormat="false" ht="15" hidden="false" customHeight="false" outlineLevel="0" collapsed="false">
      <c r="A18" s="2" t="s">
        <v>84</v>
      </c>
    </row>
    <row r="19" customFormat="false" ht="15" hidden="false" customHeight="false" outlineLevel="0" collapsed="false">
      <c r="A19" s="10" t="s">
        <v>85</v>
      </c>
    </row>
    <row r="20" customFormat="false" ht="15" hidden="false" customHeight="false" outlineLevel="0" collapsed="false">
      <c r="A20" s="1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87</v>
      </c>
    </row>
    <row r="3" customFormat="false" ht="15" hidden="false" customHeight="false" outlineLevel="0" collapsed="false">
      <c r="A3" s="4" t="s">
        <v>88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93</v>
      </c>
      <c r="G3" s="4" t="s">
        <v>94</v>
      </c>
    </row>
    <row r="4" customFormat="false" ht="15" hidden="false" customHeight="false" outlineLevel="0" collapsed="false">
      <c r="A4" s="5" t="s">
        <v>17</v>
      </c>
      <c r="B4" s="11" t="n">
        <f aca="false">COUNT('Clean Data'!$C$2:$C$16)</f>
        <v>15</v>
      </c>
      <c r="C4" s="6" t="n">
        <f aca="false">AVERAGE('Clean Data'!$C$2:$C$16)</f>
        <v>39.0666666666667</v>
      </c>
      <c r="D4" s="6" t="n">
        <f aca="false">MEDIAN('Clean Data'!$C$2:$C$16)</f>
        <v>38</v>
      </c>
      <c r="E4" s="6" t="n">
        <f aca="false">MIN('Clean Data'!$C$2:$C$16)</f>
        <v>23</v>
      </c>
      <c r="F4" s="6" t="n">
        <f aca="false">MAX('Clean Data'!$C$2:$C$16)</f>
        <v>60</v>
      </c>
      <c r="G4" s="6" t="n">
        <f aca="false">STDEV('Clean Data'!$C$2:$C$16)</f>
        <v>11.3921443276037</v>
      </c>
    </row>
    <row r="5" customFormat="false" ht="15" hidden="false" customHeight="false" outlineLevel="0" collapsed="false">
      <c r="A5" s="5" t="s">
        <v>18</v>
      </c>
      <c r="B5" s="11" t="n">
        <f aca="false">COUNT('Clean Data'!$D$2:$D$16)</f>
        <v>15</v>
      </c>
      <c r="C5" s="6" t="n">
        <f aca="false">AVERAGE('Clean Data'!$D$2:$D$16)</f>
        <v>18.8</v>
      </c>
      <c r="D5" s="6" t="n">
        <f aca="false">MEDIAN('Clean Data'!$D$2:$D$16)</f>
        <v>15</v>
      </c>
      <c r="E5" s="6" t="n">
        <f aca="false">MIN('Clean Data'!$D$2:$D$16)</f>
        <v>2</v>
      </c>
      <c r="F5" s="6" t="n">
        <f aca="false">MAX('Clean Data'!$D$2:$D$16)</f>
        <v>48</v>
      </c>
      <c r="G5" s="6" t="n">
        <f aca="false">STDEV('Clean Data'!$D$2:$D$16)</f>
        <v>14.3337762943735</v>
      </c>
    </row>
    <row r="6" customFormat="false" ht="15" hidden="false" customHeight="false" outlineLevel="0" collapsed="false">
      <c r="A6" s="5" t="s">
        <v>20</v>
      </c>
      <c r="B6" s="11" t="n">
        <f aca="false">COUNT('Clean Data'!$F$2:$F$16)</f>
        <v>15</v>
      </c>
      <c r="C6" s="6" t="n">
        <f aca="false">AVERAGE('Clean Data'!$F$2:$F$16)</f>
        <v>84.6566666666667</v>
      </c>
      <c r="D6" s="6" t="n">
        <f aca="false">MEDIAN('Clean Data'!$F$2:$F$16)</f>
        <v>79.99</v>
      </c>
      <c r="E6" s="6" t="n">
        <f aca="false">MIN('Clean Data'!$F$2:$F$16)</f>
        <v>49.99</v>
      </c>
      <c r="F6" s="6" t="n">
        <f aca="false">MAX('Clean Data'!$F$2:$F$16)</f>
        <v>149.99</v>
      </c>
      <c r="G6" s="6" t="n">
        <f aca="false">STDEV('Clean Data'!$F$2:$F$16)</f>
        <v>42.7395211328656</v>
      </c>
    </row>
    <row r="7" customFormat="false" ht="15" hidden="false" customHeight="false" outlineLevel="0" collapsed="false">
      <c r="A7" s="5" t="s">
        <v>21</v>
      </c>
      <c r="B7" s="11" t="n">
        <f aca="false">COUNT('Clean Data'!$G$2:$G$16)</f>
        <v>15</v>
      </c>
      <c r="C7" s="6" t="n">
        <f aca="false">AVERAGE('Clean Data'!$G$2:$G$16)</f>
        <v>2088.47866666667</v>
      </c>
      <c r="D7" s="6" t="n">
        <f aca="false">MEDIAN('Clean Data'!$G$2:$G$16)</f>
        <v>1099.78</v>
      </c>
      <c r="E7" s="6" t="n">
        <f aca="false">MIN('Clean Data'!$G$2:$G$16)</f>
        <v>99.98</v>
      </c>
      <c r="F7" s="6" t="n">
        <f aca="false">MAX('Clean Data'!$G$2:$G$16)</f>
        <v>7199.52</v>
      </c>
      <c r="G7" s="6" t="n">
        <f aca="false">STDEV('Clean Data'!$G$2:$G$16)</f>
        <v>2407.36576692945</v>
      </c>
    </row>
    <row r="8" customFormat="false" ht="15" hidden="false" customHeight="false" outlineLevel="0" collapsed="false">
      <c r="A8" s="5" t="s">
        <v>23</v>
      </c>
      <c r="B8" s="11" t="n">
        <f aca="false">COUNT('Clean Data'!$I$2:$I$16)</f>
        <v>15</v>
      </c>
      <c r="C8" s="6" t="n">
        <f aca="false">AVERAGE('Clean Data'!$I$2:$I$16)</f>
        <v>2.53333333333333</v>
      </c>
      <c r="D8" s="6" t="n">
        <f aca="false">MEDIAN('Clean Data'!$I$2:$I$16)</f>
        <v>2</v>
      </c>
      <c r="E8" s="6" t="n">
        <f aca="false">MIN('Clean Data'!$I$2:$I$16)</f>
        <v>0</v>
      </c>
      <c r="F8" s="6" t="n">
        <f aca="false">MAX('Clean Data'!$I$2:$I$16)</f>
        <v>6</v>
      </c>
      <c r="G8" s="6" t="n">
        <f aca="false">STDEV('Clean Data'!$I$2:$I$16)</f>
        <v>1.92230020944651</v>
      </c>
    </row>
    <row r="11" customFormat="false" ht="15" hidden="false" customHeight="false" outlineLevel="0" collapsed="false">
      <c r="A11" s="2" t="s">
        <v>95</v>
      </c>
    </row>
    <row r="12" customFormat="false" ht="15" hidden="false" customHeight="false" outlineLevel="0" collapsed="false">
      <c r="A12" s="4" t="s">
        <v>96</v>
      </c>
      <c r="B12" s="4" t="s">
        <v>97</v>
      </c>
      <c r="C12" s="4" t="s">
        <v>98</v>
      </c>
      <c r="D12" s="4" t="s">
        <v>99</v>
      </c>
    </row>
    <row r="13" customFormat="false" ht="15" hidden="false" customHeight="false" outlineLevel="0" collapsed="false">
      <c r="A13" s="5" t="s">
        <v>100</v>
      </c>
      <c r="B13" s="5" t="n">
        <f aca="false">COUNTIFS('Clean Data'!$C$2:$C$16,"&gt;=18",'Clean Data'!$C$2:$C$16,"&lt;=29")</f>
        <v>4</v>
      </c>
      <c r="C13" s="5" t="n">
        <f aca="false">COUNTIFS('Clean Data'!$C$2:$C$16,"&gt;=18",'Clean Data'!$C$2:$C$16,"&lt;=29",'Clean Data'!$K$2:$K$16,"Yes")</f>
        <v>4</v>
      </c>
      <c r="D13" s="12" t="n">
        <f aca="false">IF(B13=0,0,C13/B13)</f>
        <v>1</v>
      </c>
    </row>
    <row r="14" customFormat="false" ht="15" hidden="false" customHeight="false" outlineLevel="0" collapsed="false">
      <c r="A14" s="5" t="s">
        <v>101</v>
      </c>
      <c r="B14" s="5" t="n">
        <f aca="false">COUNTIFS('Clean Data'!$C$2:$C$16,"&gt;=30",'Clean Data'!$C$2:$C$16,"&lt;=39")</f>
        <v>4</v>
      </c>
      <c r="C14" s="5" t="n">
        <f aca="false">COUNTIFS('Clean Data'!$C$2:$C$16,"&gt;=30",'Clean Data'!$C$2:$C$16,"&lt;=39",'Clean Data'!$K$2:$K$16,"Yes")</f>
        <v>2</v>
      </c>
      <c r="D14" s="12" t="n">
        <f aca="false">IF(B14=0,0,C14/B14)</f>
        <v>0.5</v>
      </c>
    </row>
    <row r="15" customFormat="false" ht="15" hidden="false" customHeight="false" outlineLevel="0" collapsed="false">
      <c r="A15" s="5" t="s">
        <v>102</v>
      </c>
      <c r="B15" s="5" t="n">
        <f aca="false">COUNTIFS('Clean Data'!$C$2:$C$16,"&gt;=40",'Clean Data'!$C$2:$C$16,"&lt;=49")</f>
        <v>4</v>
      </c>
      <c r="C15" s="5" t="n">
        <f aca="false">COUNTIFS('Clean Data'!$C$2:$C$16,"&gt;=40",'Clean Data'!$C$2:$C$16,"&lt;=49",'Clean Data'!$K$2:$K$16,"Yes")</f>
        <v>1</v>
      </c>
      <c r="D15" s="12" t="n">
        <f aca="false">IF(B15=0,0,C15/B15)</f>
        <v>0.25</v>
      </c>
    </row>
    <row r="16" customFormat="false" ht="15" hidden="false" customHeight="false" outlineLevel="0" collapsed="false">
      <c r="A16" s="5" t="s">
        <v>103</v>
      </c>
      <c r="B16" s="5" t="n">
        <f aca="false">COUNTIFS('Clean Data'!$C$2:$C$16,"&gt;=50",'Clean Data'!$C$2:$C$16,"&lt;=200")</f>
        <v>3</v>
      </c>
      <c r="C16" s="5" t="n">
        <f aca="false">COUNTIFS('Clean Data'!$C$2:$C$16,"&gt;=50",'Clean Data'!$C$2:$C$16,"&lt;=200",'Clean Data'!$K$2:$K$16,"Yes")</f>
        <v>0</v>
      </c>
      <c r="D16" s="12" t="n">
        <f aca="false">IF(B16=0,0,C16/B16)</f>
        <v>0</v>
      </c>
    </row>
    <row r="18" customFormat="false" ht="15" hidden="false" customHeight="false" outlineLevel="0" collapsed="false">
      <c r="A18" s="2" t="s">
        <v>104</v>
      </c>
    </row>
    <row r="19" customFormat="false" ht="15" hidden="false" customHeight="false" outlineLevel="0" collapsed="false">
      <c r="A19" s="4" t="s">
        <v>105</v>
      </c>
      <c r="B19" s="4" t="s">
        <v>97</v>
      </c>
      <c r="C19" s="4" t="s">
        <v>98</v>
      </c>
      <c r="D19" s="4" t="s">
        <v>99</v>
      </c>
    </row>
    <row r="20" customFormat="false" ht="15" hidden="false" customHeight="false" outlineLevel="0" collapsed="false">
      <c r="A20" s="5" t="s">
        <v>106</v>
      </c>
      <c r="B20" s="5" t="n">
        <f aca="false">COUNTIFS('Clean Data'!$D$2:$D$16,"&gt;=0",'Clean Data'!$D$2:$D$16,"&lt;=12")</f>
        <v>6</v>
      </c>
      <c r="C20" s="5" t="n">
        <f aca="false">COUNTIFS('Clean Data'!$D$2:$D$16,"&gt;=0",'Clean Data'!$D$2:$D$16,"&lt;=12",'Clean Data'!$K$2:$K$16,"Yes")</f>
        <v>6</v>
      </c>
      <c r="D20" s="12" t="n">
        <f aca="false">IF(B20=0,0,C20/B20)</f>
        <v>1</v>
      </c>
    </row>
    <row r="21" customFormat="false" ht="15" hidden="false" customHeight="false" outlineLevel="0" collapsed="false">
      <c r="A21" s="5" t="s">
        <v>107</v>
      </c>
      <c r="B21" s="5" t="n">
        <f aca="false">COUNTIFS('Clean Data'!$D$2:$D$16,"&gt;=13",'Clean Data'!$D$2:$D$16,"&lt;=24")</f>
        <v>5</v>
      </c>
      <c r="C21" s="5" t="n">
        <f aca="false">COUNTIFS('Clean Data'!$D$2:$D$16,"&gt;=13",'Clean Data'!$D$2:$D$16,"&lt;=24",'Clean Data'!$K$2:$K$16,"Yes")</f>
        <v>1</v>
      </c>
      <c r="D21" s="12" t="n">
        <f aca="false">IF(B21=0,0,C21/B21)</f>
        <v>0.2</v>
      </c>
    </row>
    <row r="22" customFormat="false" ht="15" hidden="false" customHeight="false" outlineLevel="0" collapsed="false">
      <c r="A22" s="5" t="s">
        <v>108</v>
      </c>
      <c r="B22" s="5" t="n">
        <f aca="false">COUNTIFS('Clean Data'!$D$2:$D$16,"&gt;=25",'Clean Data'!$D$2:$D$16,"&lt;=36")</f>
        <v>2</v>
      </c>
      <c r="C22" s="5" t="n">
        <f aca="false">COUNTIFS('Clean Data'!$D$2:$D$16,"&gt;=25",'Clean Data'!$D$2:$D$16,"&lt;=36",'Clean Data'!$K$2:$K$16,"Yes")</f>
        <v>0</v>
      </c>
      <c r="D22" s="12" t="n">
        <f aca="false">IF(B22=0,0,C22/B22)</f>
        <v>0</v>
      </c>
    </row>
    <row r="23" customFormat="false" ht="15" hidden="false" customHeight="false" outlineLevel="0" collapsed="false">
      <c r="A23" s="5" t="s">
        <v>109</v>
      </c>
      <c r="B23" s="5" t="n">
        <f aca="false">COUNTIFS('Clean Data'!$D$2:$D$16,"&gt;=37",'Clean Data'!$D$2:$D$16,"&lt;=200")</f>
        <v>2</v>
      </c>
      <c r="C23" s="5" t="n">
        <f aca="false">COUNTIFS('Clean Data'!$D$2:$D$16,"&gt;=37",'Clean Data'!$D$2:$D$16,"&lt;=200",'Clean Data'!$K$2:$K$16,"Yes")</f>
        <v>0</v>
      </c>
      <c r="D23" s="12" t="n">
        <f aca="false">IF(B23=0,0,C23/B23)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2" t="s">
        <v>111</v>
      </c>
      <c r="B3" s="13" t="n">
        <f aca="false">COUNTIF('Clean Data'!$K$2:$K$16,"Yes")/COUNTA('Clean Data'!$K$2:$K$16)</f>
        <v>0.466666666666667</v>
      </c>
    </row>
    <row r="5" customFormat="false" ht="15" hidden="false" customHeight="false" outlineLevel="0" collapsed="false">
      <c r="A5" s="4" t="s">
        <v>112</v>
      </c>
      <c r="B5" s="4" t="s">
        <v>97</v>
      </c>
      <c r="C5" s="4" t="s">
        <v>98</v>
      </c>
      <c r="D5" s="4" t="s">
        <v>99</v>
      </c>
    </row>
    <row r="6" customFormat="false" ht="15" hidden="false" customHeight="false" outlineLevel="0" collapsed="false">
      <c r="A6" s="5" t="s">
        <v>29</v>
      </c>
      <c r="B6" s="5" t="n">
        <f aca="false">COUNTIF('Clean Data'!$H$2:$H$16,A6)</f>
        <v>7</v>
      </c>
      <c r="C6" s="5" t="n">
        <f aca="false">COUNTIFS('Clean Data'!$H$2:$H$16,A6,'Clean Data'!$K$2:$K$16,"Yes")</f>
        <v>7</v>
      </c>
      <c r="D6" s="12" t="n">
        <f aca="false">IF(B6=0,0,C6/B6)</f>
        <v>1</v>
      </c>
    </row>
    <row r="7" customFormat="false" ht="15" hidden="false" customHeight="false" outlineLevel="0" collapsed="false">
      <c r="A7" s="5" t="s">
        <v>35</v>
      </c>
      <c r="B7" s="5" t="n">
        <f aca="false">COUNTIF('Clean Data'!$H$2:$H$16,A7)</f>
        <v>4</v>
      </c>
      <c r="C7" s="5" t="n">
        <f aca="false">COUNTIFS('Clean Data'!$H$2:$H$16,A7,'Clean Data'!$K$2:$K$16,"Yes")</f>
        <v>0</v>
      </c>
      <c r="D7" s="12" t="n">
        <f aca="false">IF(B7=0,0,C7/B7)</f>
        <v>0</v>
      </c>
    </row>
    <row r="8" customFormat="false" ht="15" hidden="false" customHeight="false" outlineLevel="0" collapsed="false">
      <c r="A8" s="5" t="s">
        <v>42</v>
      </c>
      <c r="B8" s="5" t="n">
        <f aca="false">COUNTIF('Clean Data'!$H$2:$H$16,A8)</f>
        <v>4</v>
      </c>
      <c r="C8" s="5" t="n">
        <f aca="false">COUNTIFS('Clean Data'!$H$2:$H$16,A8,'Clean Data'!$K$2:$K$16,"Yes")</f>
        <v>0</v>
      </c>
      <c r="D8" s="12" t="n">
        <f aca="false">IF(B8=0,0,C8/B8)</f>
        <v>0</v>
      </c>
    </row>
    <row r="11" customFormat="false" ht="15" hidden="false" customHeight="false" outlineLevel="0" collapsed="false">
      <c r="A11" s="4" t="s">
        <v>113</v>
      </c>
      <c r="B11" s="4" t="s">
        <v>97</v>
      </c>
      <c r="C11" s="4" t="s">
        <v>98</v>
      </c>
      <c r="D11" s="4" t="s">
        <v>99</v>
      </c>
    </row>
    <row r="12" customFormat="false" ht="15" hidden="false" customHeight="false" outlineLevel="0" collapsed="false">
      <c r="A12" s="5" t="s">
        <v>28</v>
      </c>
      <c r="B12" s="5" t="n">
        <f aca="false">COUNTIF('Clean Data'!$E$2:$E$16,A12)</f>
        <v>7</v>
      </c>
      <c r="C12" s="5" t="n">
        <f aca="false">COUNTIFS('Clean Data'!$E$2:$E$16,A12,'Clean Data'!$K$2:$K$16,"Yes")</f>
        <v>5</v>
      </c>
      <c r="D12" s="12" t="n">
        <f aca="false">IF(B12=0,0,C12/B12)</f>
        <v>0.714285714285714</v>
      </c>
    </row>
    <row r="13" customFormat="false" ht="15" hidden="false" customHeight="false" outlineLevel="0" collapsed="false">
      <c r="A13" s="5" t="s">
        <v>34</v>
      </c>
      <c r="B13" s="5" t="n">
        <f aca="false">COUNTIF('Clean Data'!$E$2:$E$16,A13)</f>
        <v>4</v>
      </c>
      <c r="C13" s="5" t="n">
        <f aca="false">COUNTIFS('Clean Data'!$E$2:$E$16,A13,'Clean Data'!$K$2:$K$16,"Yes")</f>
        <v>2</v>
      </c>
      <c r="D13" s="12" t="n">
        <f aca="false">IF(B13=0,0,C13/B13)</f>
        <v>0.5</v>
      </c>
    </row>
    <row r="14" customFormat="false" ht="15" hidden="false" customHeight="false" outlineLevel="0" collapsed="false">
      <c r="A14" s="5" t="s">
        <v>41</v>
      </c>
      <c r="B14" s="5" t="n">
        <f aca="false">COUNTIF('Clean Data'!$E$2:$E$16,A14)</f>
        <v>4</v>
      </c>
      <c r="C14" s="5" t="n">
        <f aca="false">COUNTIFS('Clean Data'!$E$2:$E$16,A14,'Clean Data'!$K$2:$K$16,"Yes")</f>
        <v>0</v>
      </c>
      <c r="D14" s="12" t="n">
        <f aca="false">IF(B14=0,0,C14/B14)</f>
        <v>0</v>
      </c>
    </row>
    <row r="17" customFormat="false" ht="15" hidden="false" customHeight="false" outlineLevel="0" collapsed="false">
      <c r="A17" s="4" t="s">
        <v>114</v>
      </c>
      <c r="B17" s="4" t="s">
        <v>97</v>
      </c>
      <c r="C17" s="4" t="s">
        <v>98</v>
      </c>
      <c r="D17" s="4" t="s">
        <v>99</v>
      </c>
    </row>
    <row r="18" customFormat="false" ht="15" hidden="false" customHeight="false" outlineLevel="0" collapsed="false">
      <c r="A18" s="5" t="s">
        <v>30</v>
      </c>
      <c r="B18" s="5" t="n">
        <f aca="false">COUNTIF('Clean Data'!$J$2:$J$16,A18)</f>
        <v>6</v>
      </c>
      <c r="C18" s="5" t="n">
        <f aca="false">COUNTIFS('Clean Data'!$J$2:$J$16,A18,'Clean Data'!$K$2:$K$16,"Yes")</f>
        <v>2</v>
      </c>
      <c r="D18" s="12" t="n">
        <f aca="false">IF(B18=0,0,C18/B18)</f>
        <v>0.333333333333333</v>
      </c>
    </row>
    <row r="19" customFormat="false" ht="15" hidden="false" customHeight="false" outlineLevel="0" collapsed="false">
      <c r="A19" s="5" t="s">
        <v>44</v>
      </c>
      <c r="B19" s="5" t="n">
        <f aca="false">COUNTIF('Clean Data'!$J$2:$J$16,A19)</f>
        <v>2</v>
      </c>
      <c r="C19" s="5" t="n">
        <f aca="false">COUNTIFS('Clean Data'!$J$2:$J$16,A19,'Clean Data'!$K$2:$K$16,"Yes")</f>
        <v>2</v>
      </c>
      <c r="D19" s="12" t="n">
        <f aca="false">IF(B19=0,0,C19/B19)</f>
        <v>1</v>
      </c>
    </row>
    <row r="20" customFormat="false" ht="15" hidden="false" customHeight="false" outlineLevel="0" collapsed="false">
      <c r="A20" s="5" t="s">
        <v>39</v>
      </c>
      <c r="B20" s="5" t="n">
        <f aca="false">COUNTIF('Clean Data'!$J$2:$J$16,A20)</f>
        <v>4</v>
      </c>
      <c r="C20" s="5" t="n">
        <f aca="false">COUNTIFS('Clean Data'!$J$2:$J$16,A20,'Clean Data'!$K$2:$K$16,"Yes")</f>
        <v>3</v>
      </c>
      <c r="D20" s="12" t="n">
        <f aca="false">IF(B20=0,0,C20/B20)</f>
        <v>0.75</v>
      </c>
    </row>
    <row r="21" customFormat="false" ht="15" hidden="false" customHeight="false" outlineLevel="0" collapsed="false">
      <c r="A21" s="5" t="s">
        <v>36</v>
      </c>
      <c r="B21" s="5" t="n">
        <f aca="false">COUNTIF('Clean Data'!$J$2:$J$16,A21)</f>
        <v>3</v>
      </c>
      <c r="C21" s="5" t="n">
        <f aca="false">COUNTIFS('Clean Data'!$J$2:$J$16,A21,'Clean Data'!$K$2:$K$16,"Yes")</f>
        <v>0</v>
      </c>
      <c r="D21" s="12" t="n">
        <f aca="false">IF(B21=0,0,C21/B21)</f>
        <v>0</v>
      </c>
    </row>
    <row r="24" customFormat="false" ht="26.85" hidden="false" customHeight="false" outlineLevel="0" collapsed="false">
      <c r="A24" s="4" t="s">
        <v>115</v>
      </c>
      <c r="B24" s="4" t="s">
        <v>17</v>
      </c>
      <c r="C24" s="4" t="s">
        <v>116</v>
      </c>
      <c r="D24" s="4" t="s">
        <v>117</v>
      </c>
      <c r="E24" s="4" t="s">
        <v>118</v>
      </c>
    </row>
    <row r="25" customFormat="false" ht="15" hidden="false" customHeight="false" outlineLevel="0" collapsed="false">
      <c r="A25" s="5" t="s">
        <v>119</v>
      </c>
      <c r="B25" s="14" t="n">
        <f aca="false">AVERAGEIF('Clean Data'!$K$2:$K$16,"Yes",'Clean Data'!$C$2:$C$16)</f>
        <v>30.4285714285714</v>
      </c>
      <c r="C25" s="14" t="n">
        <f aca="false">AVERAGEIF('Clean Data'!$K$2:$K$16,"Yes",'Clean Data'!$D$2:$D$16)</f>
        <v>7</v>
      </c>
      <c r="D25" s="14" t="n">
        <f aca="false">AVERAGEIF('Clean Data'!$K$2:$K$16,"Yes",'Clean Data'!$I$2:$I$16)</f>
        <v>4.28571428571429</v>
      </c>
      <c r="E25" s="14" t="n">
        <f aca="false">AVERAGEIF('Clean Data'!$K$2:$K$16,"Yes",'Clean Data'!$F$2:$F$16)</f>
        <v>58.5614285714286</v>
      </c>
    </row>
    <row r="26" customFormat="false" ht="15" hidden="false" customHeight="false" outlineLevel="0" collapsed="false">
      <c r="A26" s="5" t="s">
        <v>120</v>
      </c>
      <c r="B26" s="14" t="n">
        <f aca="false">AVERAGEIF('Clean Data'!$K$2:$K$16,"No",'Clean Data'!$C$2:$C$16)</f>
        <v>46.625</v>
      </c>
      <c r="C26" s="14" t="n">
        <f aca="false">AVERAGEIF('Clean Data'!$K$2:$K$16,"No",'Clean Data'!$D$2:$D$16)</f>
        <v>29.125</v>
      </c>
      <c r="D26" s="14" t="n">
        <f aca="false">AVERAGEIF('Clean Data'!$K$2:$K$16,"No",'Clean Data'!$I$2:$I$16)</f>
        <v>1</v>
      </c>
      <c r="E26" s="14" t="n">
        <f aca="false">AVERAGEIF('Clean Data'!$K$2:$K$16,"No",'Clean Data'!$F$2:$F$16)</f>
        <v>107.49</v>
      </c>
    </row>
    <row r="28" customFormat="false" ht="15" hidden="false" customHeight="false" outlineLevel="0" collapsed="false">
      <c r="A28" s="2" t="s">
        <v>121</v>
      </c>
    </row>
    <row r="29" customFormat="false" ht="15" hidden="false" customHeight="false" outlineLevel="0" collapsed="false">
      <c r="A29" s="10" t="s">
        <v>122</v>
      </c>
    </row>
    <row r="30" customFormat="false" ht="15" hidden="false" customHeight="false" outlineLevel="0" collapsed="false">
      <c r="A30" s="10" t="s">
        <v>123</v>
      </c>
    </row>
    <row r="31" customFormat="false" ht="15" hidden="false" customHeight="false" outlineLevel="0" collapsed="false">
      <c r="A31" s="1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125</v>
      </c>
    </row>
    <row r="3" customFormat="false" ht="15" hidden="false" customHeight="false" outlineLevel="0" collapsed="false">
      <c r="A3" s="4" t="s">
        <v>88</v>
      </c>
      <c r="B3" s="4" t="s">
        <v>126</v>
      </c>
      <c r="C3" s="4" t="s">
        <v>127</v>
      </c>
      <c r="D3" s="4" t="s">
        <v>128</v>
      </c>
    </row>
    <row r="4" customFormat="false" ht="15" hidden="false" customHeight="false" outlineLevel="0" collapsed="false">
      <c r="A4" s="5" t="s">
        <v>15</v>
      </c>
      <c r="B4" s="5" t="s">
        <v>129</v>
      </c>
      <c r="C4" s="5" t="s">
        <v>130</v>
      </c>
      <c r="D4" s="5" t="s">
        <v>131</v>
      </c>
    </row>
    <row r="5" customFormat="false" ht="15" hidden="false" customHeight="false" outlineLevel="0" collapsed="false">
      <c r="A5" s="5" t="s">
        <v>16</v>
      </c>
      <c r="B5" s="5" t="s">
        <v>129</v>
      </c>
      <c r="C5" s="5" t="s">
        <v>132</v>
      </c>
      <c r="D5" s="5" t="s">
        <v>133</v>
      </c>
    </row>
    <row r="6" customFormat="false" ht="15" hidden="false" customHeight="false" outlineLevel="0" collapsed="false">
      <c r="A6" s="5" t="s">
        <v>17</v>
      </c>
      <c r="B6" s="5" t="s">
        <v>134</v>
      </c>
      <c r="C6" s="5" t="s">
        <v>135</v>
      </c>
      <c r="D6" s="5" t="s">
        <v>136</v>
      </c>
    </row>
    <row r="7" customFormat="false" ht="15" hidden="false" customHeight="false" outlineLevel="0" collapsed="false">
      <c r="A7" s="5" t="s">
        <v>18</v>
      </c>
      <c r="B7" s="5" t="s">
        <v>134</v>
      </c>
      <c r="C7" s="5" t="s">
        <v>137</v>
      </c>
      <c r="D7" s="5" t="s">
        <v>138</v>
      </c>
    </row>
    <row r="8" customFormat="false" ht="15" hidden="false" customHeight="false" outlineLevel="0" collapsed="false">
      <c r="A8" s="5" t="s">
        <v>19</v>
      </c>
      <c r="B8" s="5" t="s">
        <v>129</v>
      </c>
      <c r="C8" s="5" t="s">
        <v>139</v>
      </c>
      <c r="D8" s="5" t="s">
        <v>140</v>
      </c>
    </row>
    <row r="9" customFormat="false" ht="15" hidden="false" customHeight="false" outlineLevel="0" collapsed="false">
      <c r="A9" s="5" t="s">
        <v>20</v>
      </c>
      <c r="B9" s="5" t="s">
        <v>141</v>
      </c>
      <c r="C9" s="5" t="s">
        <v>142</v>
      </c>
      <c r="D9" s="5" t="s">
        <v>143</v>
      </c>
    </row>
    <row r="10" customFormat="false" ht="15" hidden="false" customHeight="false" outlineLevel="0" collapsed="false">
      <c r="A10" s="5" t="s">
        <v>21</v>
      </c>
      <c r="B10" s="5" t="s">
        <v>141</v>
      </c>
      <c r="C10" s="5" t="s">
        <v>144</v>
      </c>
      <c r="D10" s="5" t="s">
        <v>145</v>
      </c>
    </row>
    <row r="11" customFormat="false" ht="15" hidden="false" customHeight="false" outlineLevel="0" collapsed="false">
      <c r="A11" s="5" t="s">
        <v>22</v>
      </c>
      <c r="B11" s="5" t="s">
        <v>129</v>
      </c>
      <c r="C11" s="5" t="s">
        <v>146</v>
      </c>
      <c r="D11" s="5" t="s">
        <v>147</v>
      </c>
    </row>
    <row r="12" customFormat="false" ht="15" hidden="false" customHeight="false" outlineLevel="0" collapsed="false">
      <c r="A12" s="5" t="s">
        <v>23</v>
      </c>
      <c r="B12" s="5" t="s">
        <v>134</v>
      </c>
      <c r="C12" s="5" t="s">
        <v>148</v>
      </c>
      <c r="D12" s="5" t="s">
        <v>149</v>
      </c>
    </row>
    <row r="13" customFormat="false" ht="15" hidden="false" customHeight="false" outlineLevel="0" collapsed="false">
      <c r="A13" s="5" t="s">
        <v>24</v>
      </c>
      <c r="B13" s="5" t="s">
        <v>129</v>
      </c>
      <c r="C13" s="5" t="s">
        <v>150</v>
      </c>
      <c r="D13" s="5" t="s">
        <v>151</v>
      </c>
    </row>
    <row r="14" customFormat="false" ht="15" hidden="false" customHeight="false" outlineLevel="0" collapsed="false">
      <c r="A14" s="5" t="s">
        <v>25</v>
      </c>
      <c r="B14" s="5" t="s">
        <v>129</v>
      </c>
      <c r="C14" s="5" t="s">
        <v>152</v>
      </c>
      <c r="D14" s="5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2026-10-12T05:36:06Z</dcterms:created>
  <dc:creator>openpyxl</dc:creator>
  <dc:description/>
  <dc:language>en-US</dc:language>
  <cp:lastModifiedBy/>
  <dcterms:modified xsi:type="dcterms:W3CDTF">2026-10-12T05:36:10Z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